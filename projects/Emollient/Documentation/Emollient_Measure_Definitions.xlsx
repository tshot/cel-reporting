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MA Definitions" sheetId="1" state="visible" r:id="rId3"/>
    <sheet name="SAE Definitions" sheetId="2" state="visible" r:id="rId4"/>
    <sheet name="Discharge Type Reference" sheetId="3" state="visible" r:id="rId5"/>
    <sheet name="Issues Foun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<sst xmlns="http://schemas.openxmlformats.org/spreadsheetml/2006/main" count="163" uniqueCount="118">
  <si>
    <t xml:space="preserve">Which discharge codes count as “LAMA”?</t>
  </si>
  <si>
    <t xml:space="preserve">Four different answers are currently in use across the CEL reporting codebase. They are not reconcilable by rounding — they include and exclude different categories. Fill the Decision column to settle which one TSC should see.</t>
  </si>
  <si>
    <t xml:space="preserve">Discharge code</t>
  </si>
  <si>
    <t xml:space="preserve">Meaning (English)</t>
  </si>
  <si>
    <t xml:space="preserve">A · Monthly Dashboard</t>
  </si>
  <si>
    <t xml:space="preserve">B · Clinical Outcomes N2</t>
  </si>
  <si>
    <t xml:space="preserve">C · Spec for new report</t>
  </si>
  <si>
    <t xml:space="preserve">D · New report (broken out)</t>
  </si>
  <si>
    <t xml:space="preserve">TSC decision — include?</t>
  </si>
  <si>
    <t xml:space="preserve">TYP_FP</t>
  </si>
  <si>
    <t xml:space="preserve">Discharge as per facility protocol</t>
  </si>
  <si>
    <t xml:space="preserve">Yes</t>
  </si>
  <si>
    <t xml:space="preserve">TYP_LAMA</t>
  </si>
  <si>
    <t xml:space="preserve">LAMA (left against medical advice)</t>
  </si>
  <si>
    <t xml:space="preserve">TYP_DOPR</t>
  </si>
  <si>
    <t xml:space="preserve">Discharge on patient / family request</t>
  </si>
  <si>
    <t xml:space="preserve">TYP_REF</t>
  </si>
  <si>
    <t xml:space="preserve">Referred out to another centre</t>
  </si>
  <si>
    <t xml:space="preserve">TYP_DEA</t>
  </si>
  <si>
    <t xml:space="preserve">Death</t>
  </si>
  <si>
    <t xml:space="preserve">TYP_ABS</t>
  </si>
  <si>
    <t xml:space="preserve">Absconded (left without informing)</t>
  </si>
  <si>
    <t xml:space="preserve">TYP_OTH</t>
  </si>
  <si>
    <t xml:space="preserve">Others (specify)</t>
  </si>
  <si>
    <t xml:space="preserve">Codes included</t>
  </si>
  <si>
    <t xml:space="preserve">Where each definition lives</t>
  </si>
  <si>
    <t xml:space="preserve">Definition</t>
  </si>
  <si>
    <t xml:space="preserve">Source</t>
  </si>
  <si>
    <t xml:space="preserve">Rule as written</t>
  </si>
  <si>
    <t xml:space="preserve">Consequence</t>
  </si>
  <si>
    <t xml:space="preserve">projects/Emollient/Aggregator/MonthlyDashboardAggregator.php, line 170</t>
  </si>
  <si>
    <t xml:space="preserve">in_array($disType, ['TYP_LAMA','TYP_REF','TYP_ABS'])</t>
  </si>
  <si>
    <t xml:space="preserve">Dated by dis_datetime. Feeds the lama_month / lama_cumulative / lama_percent columns.</t>
  </si>
  <si>
    <t xml:space="preserve">projects/Emollient/reports.php, Clinical_Outcomes header comment</t>
  </si>
  <si>
    <t xml:space="preserve">N2 = N1 minus LAMA / Referral / Abscond / DOPR</t>
  </si>
  <si>
    <t xml:space="preserve">Used as the denominator for secondary outcomes, so it changes published rates.</t>
  </si>
  <si>
    <t xml:space="preserve">Stated by Amit Tandon, 4 Oct 2026</t>
  </si>
  <si>
    <t xml:space="preserve">dis_discharge_type IN ('TYP_LAMA','TYP_DOPR')</t>
  </si>
  <si>
    <t xml:space="preserve">The definition originally requested for the TSC monthly report.</t>
  </si>
  <si>
    <t xml:space="preserve">MonthlySiteSummaryAggregator (to be written)</t>
  </si>
  <si>
    <t xml:space="preserve">Each of the seven codes counted in its own column</t>
  </si>
  <si>
    <t xml:space="preserve">No definition is baked in: A, B and C are each a sum of a subset, computed in the view.</t>
  </si>
  <si>
    <t xml:space="preserve">Which babies count as an “SAE”?</t>
  </si>
  <si>
    <t xml:space="preserve">Two definitions in use. They measure different things and are dated differently, so the same month will show different counts depending on which report you open.</t>
  </si>
  <si>
    <t xml:space="preserve">Aspect</t>
  </si>
  <si>
    <t xml:space="preserve">B · Spec for new report</t>
  </si>
  <si>
    <t xml:space="preserve">Why it matters</t>
  </si>
  <si>
    <t xml:space="preserve">Rule</t>
  </si>
  <si>
    <t xml:space="preserve">int_no_emol_reason = 'SAE'  OR  dis_discharge_type = 'TYP_DEA'</t>
  </si>
  <si>
    <t xml:space="preserve">sae_datetime is not blank</t>
  </si>
  <si>
    <t xml:space="preserve">A never reads the SAE form. B never reads deaths. Neither is a superset of the other.</t>
  </si>
  <si>
    <t xml:space="preserve">Source form</t>
  </si>
  <si>
    <t xml:space="preserve">day0 intervention module + discharge form</t>
  </si>
  <si>
    <t xml:space="preserve">serious_adverse_event form</t>
  </si>
  <si>
    <t xml:space="preserve">A counts a baby with no SAE form at all; B counts a baby who died with no SAE form filed as zero.</t>
  </si>
  <si>
    <t xml:space="preserve">Dated by</t>
  </si>
  <si>
    <t xml:space="preserve">dis_datetime (discharge date)</t>
  </si>
  <si>
    <t xml:space="preserve">sae_datetime (date of onset)</t>
  </si>
  <si>
    <t xml:space="preserve">An SAE in March whose baby was discharged in April lands in different months.</t>
  </si>
  <si>
    <t xml:space="preserve">Repeating?</t>
  </si>
  <si>
    <t xml:space="preserve">n/a</t>
  </si>
  <si>
    <t xml:space="preserve">No — serious_adverse_event is not a repeating instrument</t>
  </si>
  <si>
    <t xml:space="preserve">Confirmed via REDCap repeatingFormsEvents: one SAE per baby at most, so counting babies = counting events.</t>
  </si>
  <si>
    <t xml:space="preserve">Where defined</t>
  </si>
  <si>
    <t xml:space="preserve">MonthlyDashboardAggregator.php lines 150 and 175</t>
  </si>
  <si>
    <t xml:space="preserve">Open question</t>
  </si>
  <si>
    <t xml:space="preserve">The SAE form carries two onset dates: sae_datetime (Q5, “Date of onset of SAE”) and sae_start_date (Q8, “the date when the adverse event started”). Near-identical questions on one form usually means only one is reliably filled. The new report will count how many records have one, the other, or both, so this can be settled from the data rather than by assumption.</t>
  </si>
  <si>
    <t xml:space="preserve">dis_discharge_type — full coded value list</t>
  </si>
  <si>
    <t xml:space="preserve">Source: Emollient REDCap data dictionary, exported 4 Oct 2026.</t>
  </si>
  <si>
    <t xml:space="preserve">Code</t>
  </si>
  <si>
    <t xml:space="preserve">English label</t>
  </si>
  <si>
    <t xml:space="preserve">Hindi label</t>
  </si>
  <si>
    <t xml:space="preserve">Also appears as</t>
  </si>
  <si>
    <t xml:space="preserve">संस्थान के प्रोटोकॉल के अनुसार</t>
  </si>
  <si>
    <t xml:space="preserve">dis_post_28_discharge_type</t>
  </si>
  <si>
    <t xml:space="preserve">LAMA</t>
  </si>
  <si>
    <t xml:space="preserve">Discharge on Patient request</t>
  </si>
  <si>
    <t xml:space="preserve">परिवार के अनुरोध पर</t>
  </si>
  <si>
    <t xml:space="preserve">Referred out</t>
  </si>
  <si>
    <t xml:space="preserve">नवजात को अन्य केंद्र पर रिफर किया गया</t>
  </si>
  <si>
    <t xml:space="preserve">मृत्यु</t>
  </si>
  <si>
    <t xml:space="preserve">Absconded</t>
  </si>
  <si>
    <t xml:space="preserve">बिना बताए चले गए</t>
  </si>
  <si>
    <t xml:space="preserve">—</t>
  </si>
  <si>
    <t xml:space="preserve">Note: dis_discharge_type lives on discharge_form; dis_post_28_discharge_type lives on discharge_after_28_days_of_stay, with the identical code list. Both map to discharge_arm_1. Per instruction of 4 Oct 2026 the post-28 form is EXCLUDED from the new report, so long-stay discharges are not counted. This exclusion is stated in the report footer.</t>
  </si>
  <si>
    <t xml:space="preserve">Issues found while reading the Emollient reporting code</t>
  </si>
  <si>
    <t xml:space="preserve">Found 3–4 Oct 2026. Severity is my assessment; Status is for you to maintain.</t>
  </si>
  <si>
    <t xml:space="preserve">#</t>
  </si>
  <si>
    <t xml:space="preserve">Severity</t>
  </si>
  <si>
    <t xml:space="preserve">Where</t>
  </si>
  <si>
    <t xml:space="preserve">What is wrong</t>
  </si>
  <si>
    <t xml:space="preserve">How to check</t>
  </si>
  <si>
    <t xml:space="preserve">Status</t>
  </si>
  <si>
    <t xml:space="preserve">High</t>
  </si>
  <si>
    <t xml:space="preserve">Across the codebase</t>
  </si>
  <si>
    <t xml:space="preserve">Four incompatible definitions of “LAMA”, and two of “SAE”. Two CEL reports shown to the same audience will give different counts for the same word.</t>
  </si>
  <si>
    <t xml:space="preserve">See the LAMA Definitions and SAE Definitions sheets.</t>
  </si>
  <si>
    <t xml:space="preserve">Open</t>
  </si>
  <si>
    <t xml:space="preserve">MonthlyDashboardAggregator.php:146
reports.php MonthlyDashboard 'fields'</t>
  </si>
  <si>
    <t xml:space="preserve">The aggregator reads $row['enr_study_arm'], but that field is not in the report's fetch list. If the engine does not add it elsewhere, the Intervention / Control split on the Monthly Dashboard is permanently zero.</t>
  </si>
  <si>
    <t xml:space="preserve">Open the Monthly Dashboard and look at the Intervention and Control columns. If they are all zero while Total Enrolled is not, this is confirmed.</t>
  </si>
  <si>
    <t xml:space="preserve">Medium</t>
  </si>
  <si>
    <t xml:space="preserve">reports.php lines 710 and 793; also DataCollectorReport</t>
  </si>
  <si>
    <t xml:space="preserve">Duplicate top-level report keys. PHP silently keeps the last one, so one definition of each is dead code that reads as live.</t>
  </si>
  <si>
    <t xml:space="preserve">grep -oP "^\s{4}'\K[A-Za-z_0-9]+(?=' =&gt; \[)" reports.php | sort | uniq -d</t>
  </si>
  <si>
    <t xml:space="preserve">FormCompletionAggregator.php (line ~421)</t>
  </si>
  <si>
    <t xml:space="preserve">$endReason is tested against 'pd' and 'sw', but $stopDates is keyed 'deviation' and 'withdrawal'. Those branches never match, so a final day ended by protocol deviation or withdrawal counts as missing rather than not_due — sites are marked down for forms they were never due to fill. Affects every daily-form report.</t>
  </si>
  <si>
    <t xml:space="preserve">patch_stopday_keys.py (dry run). It aborted on 4 Oct because $stopDates is not built the way expected — the construction needs to be read before patching.</t>
  </si>
  <si>
    <t xml:space="preserve">Parked</t>
  </si>
  <si>
    <t xml:space="preserve">Low</t>
  </si>
  <si>
    <t xml:space="preserve">MonthlyDashboardAggregator.php:186-189</t>
  </si>
  <si>
    <t xml:space="preserve">Babies with a blank enr_hosp_code are skipped silently, so site totals can be lower than the study total with nothing on the page to say so.</t>
  </si>
  <si>
    <t xml:space="preserve">The new report counts these and reports them, so the two can be reconciled.</t>
  </si>
  <si>
    <t xml:space="preserve">Handled in new report</t>
  </si>
  <si>
    <t xml:space="preserve">Two onset-date fields, sae_datetime (Q5) and sae_start_date (Q8), asking nearly the same question. Probably only one is reliably filled.</t>
  </si>
  <si>
    <t xml:space="preserve">The new report reports the fill rate of each.</t>
  </si>
  <si>
    <t xml:space="preserve">Open issues</t>
  </si>
  <si>
    <t xml:space="preserve">Yellow cells are yours to edit (Status here, TSC decision on sheet 1). Everything else is a record of what the code and the data dictionary say.</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</si>
</sst>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FFFFFF"/>
      <name val="Arial"/>
      <family val="0"/>
      <charset val="1"/>
    </font>
    <font>
      <sz val="9"/>
      <name val="Consolas"/>
      <family val="0"/>
      <charset val="1"/>
    </font>
    <font>
      <sz val="10"/>
      <name val="Arial"/>
      <family val="0"/>
      <charset val="1"/>
    </font>
    <font>
      <b val="true"/>
      <sz val="1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6E0B4"/>
        <bgColor rgb="FFE2EFDA"/>
      </patternFill>
    </fill>
    <fill>
      <patternFill patternType="solid">
        <fgColor rgb="FFFFFF00"/>
        <bgColor rgb="FFFFFF00"/>
      </patternFill>
    </fill>
    <fill>
      <patternFill patternType="solid">
        <fgColor rgb="FFD9E2F3"/>
        <bgColor rgb="FFE2EFDA"/>
      </patternFill>
    </fill>
    <fill>
      <patternFill patternType="solid">
        <fgColor rgb="FFF8CBAD"/>
        <bgColor rgb="FFFFE699"/>
      </patternFill>
    </fill>
    <fill>
      <patternFill patternType="solid">
        <fgColor rgb="FFFFE699"/>
        <bgColor rgb="FFF8CBAD"/>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6E0B4"/>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6" min="3" style="0" width="16"/>
    <col collapsed="false" customWidth="true" hidden="false" outlineLevel="0" max="7" min="7" style="0" width="18"/>
  </cols>
  <sheetData>
    <row r="1" customFormat="false" ht="16.15" hidden="false" customHeight="false" outlineLevel="0" collapsed="false">
      <c r="A1" s="1" t="s">
        <v>0</v>
      </c>
    </row>
    <row r="2" customFormat="false" ht="42" hidden="false" customHeight="true" outlineLevel="0" collapsed="false">
      <c r="A2" s="2" t="s">
        <v>1</v>
      </c>
      <c r="B2" s="2"/>
      <c r="C2" s="2"/>
      <c r="D2" s="2"/>
      <c r="E2" s="2"/>
      <c r="F2" s="2"/>
      <c r="G2" s="2"/>
    </row>
    <row r="4" customFormat="false" ht="45.75" hidden="false" customHeight="true" outlineLevel="0" collapsed="false">
      <c r="A4" s="3" t="s">
        <v>2</v>
      </c>
      <c r="B4" s="3" t="s">
        <v>3</v>
      </c>
      <c r="C4" s="3" t="s">
        <v>4</v>
      </c>
      <c r="D4" s="3" t="s">
        <v>5</v>
      </c>
      <c r="E4" s="3" t="s">
        <v>6</v>
      </c>
      <c r="F4" s="3" t="s">
        <v>7</v>
      </c>
      <c r="G4" s="3" t="s">
        <v>8</v>
      </c>
    </row>
    <row r="5" customFormat="false" ht="15" hidden="false" customHeight="false" outlineLevel="0" collapsed="false">
      <c r="A5" s="4" t="s">
        <v>9</v>
      </c>
      <c r="B5" s="5" t="s">
        <v>10</v>
      </c>
      <c r="C5" s="6"/>
      <c r="D5" s="6"/>
      <c r="E5" s="6"/>
      <c r="F5" s="7" t="s">
        <v>11</v>
      </c>
      <c r="G5" s="8"/>
    </row>
    <row r="6" customFormat="false" ht="15" hidden="false" customHeight="false" outlineLevel="0" collapsed="false">
      <c r="A6" s="4" t="s">
        <v>12</v>
      </c>
      <c r="B6" s="5" t="s">
        <v>13</v>
      </c>
      <c r="C6" s="7" t="s">
        <v>11</v>
      </c>
      <c r="D6" s="7" t="s">
        <v>11</v>
      </c>
      <c r="E6" s="7" t="s">
        <v>11</v>
      </c>
      <c r="F6" s="7" t="s">
        <v>11</v>
      </c>
      <c r="G6" s="8"/>
    </row>
    <row r="7" customFormat="false" ht="15" hidden="false" customHeight="false" outlineLevel="0" collapsed="false">
      <c r="A7" s="4" t="s">
        <v>14</v>
      </c>
      <c r="B7" s="5" t="s">
        <v>15</v>
      </c>
      <c r="C7" s="6"/>
      <c r="D7" s="7" t="s">
        <v>11</v>
      </c>
      <c r="E7" s="7" t="s">
        <v>11</v>
      </c>
      <c r="F7" s="7" t="s">
        <v>11</v>
      </c>
      <c r="G7" s="8"/>
    </row>
    <row r="8" customFormat="false" ht="15" hidden="false" customHeight="false" outlineLevel="0" collapsed="false">
      <c r="A8" s="4" t="s">
        <v>16</v>
      </c>
      <c r="B8" s="5" t="s">
        <v>17</v>
      </c>
      <c r="C8" s="7" t="s">
        <v>11</v>
      </c>
      <c r="D8" s="7" t="s">
        <v>11</v>
      </c>
      <c r="E8" s="6"/>
      <c r="F8" s="7" t="s">
        <v>11</v>
      </c>
      <c r="G8" s="8"/>
    </row>
    <row r="9" customFormat="false" ht="15" hidden="false" customHeight="false" outlineLevel="0" collapsed="false">
      <c r="A9" s="4" t="s">
        <v>18</v>
      </c>
      <c r="B9" s="5" t="s">
        <v>19</v>
      </c>
      <c r="C9" s="6"/>
      <c r="D9" s="6"/>
      <c r="E9" s="6"/>
      <c r="F9" s="7" t="s">
        <v>11</v>
      </c>
      <c r="G9" s="8"/>
    </row>
    <row r="10" customFormat="false" ht="15" hidden="false" customHeight="false" outlineLevel="0" collapsed="false">
      <c r="A10" s="4" t="s">
        <v>20</v>
      </c>
      <c r="B10" s="5" t="s">
        <v>21</v>
      </c>
      <c r="C10" s="7" t="s">
        <v>11</v>
      </c>
      <c r="D10" s="7" t="s">
        <v>11</v>
      </c>
      <c r="E10" s="6"/>
      <c r="F10" s="7" t="s">
        <v>11</v>
      </c>
      <c r="G10" s="8"/>
    </row>
    <row r="11" customFormat="false" ht="15" hidden="false" customHeight="false" outlineLevel="0" collapsed="false">
      <c r="A11" s="4" t="s">
        <v>22</v>
      </c>
      <c r="B11" s="5" t="s">
        <v>23</v>
      </c>
      <c r="C11" s="6"/>
      <c r="D11" s="6"/>
      <c r="E11" s="6"/>
      <c r="F11" s="7" t="s">
        <v>11</v>
      </c>
      <c r="G11" s="8"/>
    </row>
    <row r="12" customFormat="false" ht="15" hidden="false" customHeight="false" outlineLevel="0" collapsed="false">
      <c r="A12" s="9"/>
      <c r="B12" s="10" t="s">
        <v>24</v>
      </c>
      <c r="C12" s="11" t="n">
        <f aca="false">COUNTIF(C5:C11,"Yes")</f>
        <v>3</v>
      </c>
      <c r="D12" s="11" t="n">
        <f aca="false">COUNTIF(D5:D11,"Yes")</f>
        <v>4</v>
      </c>
      <c r="E12" s="11" t="n">
        <f aca="false">COUNTIF(E5:E11,"Yes")</f>
        <v>2</v>
      </c>
      <c r="F12" s="11" t="n">
        <f aca="false">COUNTIF(F5:F11,"Yes")</f>
        <v>7</v>
      </c>
      <c r="G12" s="11" t="n">
        <f aca="false">COUNTIF(G5:G11,"Yes")</f>
        <v>0</v>
      </c>
    </row>
    <row r="14" customFormat="false" ht="15" hidden="false" customHeight="false" outlineLevel="0" collapsed="false">
      <c r="A14" s="12" t="s">
        <v>25</v>
      </c>
    </row>
    <row r="15" customFormat="false" ht="15" hidden="false" customHeight="false" outlineLevel="0" collapsed="false">
      <c r="A15" s="13" t="s">
        <v>26</v>
      </c>
      <c r="B15" s="13" t="s">
        <v>27</v>
      </c>
      <c r="C15" s="13" t="s">
        <v>28</v>
      </c>
      <c r="D15" s="13" t="s">
        <v>29</v>
      </c>
    </row>
    <row r="16" customFormat="false" ht="79.85" hidden="false" customHeight="false" outlineLevel="0" collapsed="false">
      <c r="A16" s="14" t="s">
        <v>4</v>
      </c>
      <c r="B16" s="15" t="s">
        <v>30</v>
      </c>
      <c r="C16" s="15" t="s">
        <v>31</v>
      </c>
      <c r="D16" s="14" t="s">
        <v>32</v>
      </c>
    </row>
    <row r="17" customFormat="false" ht="68.65" hidden="false" customHeight="false" outlineLevel="0" collapsed="false">
      <c r="A17" s="14" t="s">
        <v>5</v>
      </c>
      <c r="B17" s="15" t="s">
        <v>33</v>
      </c>
      <c r="C17" s="15" t="s">
        <v>34</v>
      </c>
      <c r="D17" s="14" t="s">
        <v>35</v>
      </c>
    </row>
    <row r="18" customFormat="false" ht="57.45" hidden="false" customHeight="false" outlineLevel="0" collapsed="false">
      <c r="A18" s="14" t="s">
        <v>6</v>
      </c>
      <c r="B18" s="15" t="s">
        <v>36</v>
      </c>
      <c r="C18" s="15" t="s">
        <v>37</v>
      </c>
      <c r="D18" s="14" t="s">
        <v>38</v>
      </c>
    </row>
    <row r="19" customFormat="false" ht="68.65" hidden="false" customHeight="false" outlineLevel="0" collapsed="false">
      <c r="A19" s="14" t="s">
        <v>7</v>
      </c>
      <c r="B19" s="15" t="s">
        <v>39</v>
      </c>
      <c r="C19" s="15" t="s">
        <v>40</v>
      </c>
      <c r="D19" s="14" t="s">
        <v>41</v>
      </c>
    </row>
  </sheetData>
  <mergeCells count="1">
    <mergeCell ref="A2:G2"/>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46"/>
    <col collapsed="false" customWidth="true" hidden="false" outlineLevel="0" max="4" min="4" style="0" width="56"/>
  </cols>
  <sheetData>
    <row r="1" customFormat="false" ht="16.15" hidden="false" customHeight="false" outlineLevel="0" collapsed="false">
      <c r="A1" s="1" t="s">
        <v>42</v>
      </c>
    </row>
    <row r="2" customFormat="false" ht="30" hidden="false" customHeight="true" outlineLevel="0" collapsed="false">
      <c r="A2" s="2" t="s">
        <v>43</v>
      </c>
      <c r="B2" s="2"/>
      <c r="C2" s="2"/>
      <c r="D2" s="2"/>
    </row>
    <row r="4" customFormat="false" ht="15" hidden="false" customHeight="false" outlineLevel="0" collapsed="false">
      <c r="A4" s="16" t="s">
        <v>44</v>
      </c>
      <c r="B4" s="16" t="s">
        <v>4</v>
      </c>
      <c r="C4" s="16" t="s">
        <v>45</v>
      </c>
      <c r="D4" s="16" t="s">
        <v>46</v>
      </c>
    </row>
    <row r="5" customFormat="false" ht="23.85" hidden="false" customHeight="false" outlineLevel="0" collapsed="false">
      <c r="A5" s="17" t="s">
        <v>47</v>
      </c>
      <c r="B5" s="15" t="s">
        <v>48</v>
      </c>
      <c r="C5" s="15" t="s">
        <v>49</v>
      </c>
      <c r="D5" s="14" t="s">
        <v>50</v>
      </c>
    </row>
    <row r="6" customFormat="false" ht="23.85" hidden="false" customHeight="false" outlineLevel="0" collapsed="false">
      <c r="A6" s="17" t="s">
        <v>51</v>
      </c>
      <c r="B6" s="14" t="s">
        <v>52</v>
      </c>
      <c r="C6" s="14" t="s">
        <v>53</v>
      </c>
      <c r="D6" s="14" t="s">
        <v>54</v>
      </c>
    </row>
    <row r="7" customFormat="false" ht="23.85" hidden="false" customHeight="false" outlineLevel="0" collapsed="false">
      <c r="A7" s="17" t="s">
        <v>55</v>
      </c>
      <c r="B7" s="14" t="s">
        <v>56</v>
      </c>
      <c r="C7" s="14" t="s">
        <v>57</v>
      </c>
      <c r="D7" s="14" t="s">
        <v>58</v>
      </c>
    </row>
    <row r="8" customFormat="false" ht="23.85" hidden="false" customHeight="false" outlineLevel="0" collapsed="false">
      <c r="A8" s="17" t="s">
        <v>59</v>
      </c>
      <c r="B8" s="14" t="s">
        <v>60</v>
      </c>
      <c r="C8" s="14" t="s">
        <v>61</v>
      </c>
      <c r="D8" s="14" t="s">
        <v>62</v>
      </c>
    </row>
    <row r="9" customFormat="false" ht="15" hidden="false" customHeight="false" outlineLevel="0" collapsed="false">
      <c r="A9" s="17" t="s">
        <v>63</v>
      </c>
      <c r="B9" s="14" t="s">
        <v>64</v>
      </c>
      <c r="C9" s="14" t="s">
        <v>36</v>
      </c>
      <c r="D9" s="14"/>
    </row>
    <row r="11" customFormat="false" ht="15" hidden="false" customHeight="false" outlineLevel="0" collapsed="false">
      <c r="A11" s="12" t="s">
        <v>65</v>
      </c>
    </row>
    <row r="12" customFormat="false" ht="15" hidden="false" customHeight="true" outlineLevel="0" collapsed="false">
      <c r="A12" s="18" t="s">
        <v>66</v>
      </c>
      <c r="B12" s="18"/>
      <c r="C12" s="18"/>
      <c r="D12" s="18"/>
    </row>
    <row r="13" customFormat="false" ht="15" hidden="false" customHeight="false" outlineLevel="0" collapsed="false">
      <c r="A13" s="18"/>
      <c r="B13" s="18"/>
      <c r="C13" s="18"/>
      <c r="D13" s="18"/>
    </row>
    <row r="14" customFormat="false" ht="15" hidden="false" customHeight="false" outlineLevel="0" collapsed="false">
      <c r="A14" s="18"/>
      <c r="B14" s="18"/>
      <c r="C14" s="18"/>
      <c r="D14" s="18"/>
    </row>
  </sheetData>
  <mergeCells count="2">
    <mergeCell ref="A2:D2"/>
    <mergeCell ref="A12:D14"/>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40"/>
    <col collapsed="false" customWidth="true" hidden="false" outlineLevel="0" max="4" min="4" style="0" width="30"/>
  </cols>
  <sheetData>
    <row r="1" customFormat="false" ht="16.15" hidden="false" customHeight="false" outlineLevel="0" collapsed="false">
      <c r="A1" s="1" t="s">
        <v>67</v>
      </c>
    </row>
    <row r="2" customFormat="false" ht="15" hidden="false" customHeight="false" outlineLevel="0" collapsed="false">
      <c r="A2" s="19" t="s">
        <v>68</v>
      </c>
    </row>
    <row r="4" customFormat="false" ht="15" hidden="false" customHeight="false" outlineLevel="0" collapsed="false">
      <c r="A4" s="20" t="s">
        <v>69</v>
      </c>
      <c r="B4" s="20" t="s">
        <v>70</v>
      </c>
      <c r="C4" s="20" t="s">
        <v>71</v>
      </c>
      <c r="D4" s="20" t="s">
        <v>72</v>
      </c>
    </row>
    <row r="5" customFormat="false" ht="15" hidden="false" customHeight="false" outlineLevel="0" collapsed="false">
      <c r="A5" s="4" t="s">
        <v>9</v>
      </c>
      <c r="B5" s="5" t="s">
        <v>10</v>
      </c>
      <c r="C5" s="5" t="s">
        <v>73</v>
      </c>
      <c r="D5" s="4" t="s">
        <v>74</v>
      </c>
    </row>
    <row r="6" customFormat="false" ht="15" hidden="false" customHeight="false" outlineLevel="0" collapsed="false">
      <c r="A6" s="4" t="s">
        <v>12</v>
      </c>
      <c r="B6" s="5" t="s">
        <v>75</v>
      </c>
      <c r="C6" s="5" t="s">
        <v>75</v>
      </c>
      <c r="D6" s="4" t="s">
        <v>74</v>
      </c>
    </row>
    <row r="7" customFormat="false" ht="15" hidden="false" customHeight="false" outlineLevel="0" collapsed="false">
      <c r="A7" s="4" t="s">
        <v>14</v>
      </c>
      <c r="B7" s="5" t="s">
        <v>76</v>
      </c>
      <c r="C7" s="5" t="s">
        <v>77</v>
      </c>
      <c r="D7" s="4" t="s">
        <v>74</v>
      </c>
    </row>
    <row r="8" customFormat="false" ht="15" hidden="false" customHeight="false" outlineLevel="0" collapsed="false">
      <c r="A8" s="4" t="s">
        <v>16</v>
      </c>
      <c r="B8" s="5" t="s">
        <v>78</v>
      </c>
      <c r="C8" s="5" t="s">
        <v>79</v>
      </c>
      <c r="D8" s="4" t="s">
        <v>74</v>
      </c>
    </row>
    <row r="9" customFormat="false" ht="15" hidden="false" customHeight="false" outlineLevel="0" collapsed="false">
      <c r="A9" s="4" t="s">
        <v>18</v>
      </c>
      <c r="B9" s="5" t="s">
        <v>19</v>
      </c>
      <c r="C9" s="5" t="s">
        <v>80</v>
      </c>
      <c r="D9" s="4" t="s">
        <v>74</v>
      </c>
    </row>
    <row r="10" customFormat="false" ht="15" hidden="false" customHeight="false" outlineLevel="0" collapsed="false">
      <c r="A10" s="4" t="s">
        <v>20</v>
      </c>
      <c r="B10" s="5" t="s">
        <v>81</v>
      </c>
      <c r="C10" s="5" t="s">
        <v>82</v>
      </c>
      <c r="D10" s="4" t="s">
        <v>74</v>
      </c>
    </row>
    <row r="11" customFormat="false" ht="15" hidden="false" customHeight="false" outlineLevel="0" collapsed="false">
      <c r="A11" s="4" t="s">
        <v>22</v>
      </c>
      <c r="B11" s="5" t="s">
        <v>23</v>
      </c>
      <c r="C11" s="5" t="s">
        <v>83</v>
      </c>
      <c r="D11" s="4" t="s">
        <v>74</v>
      </c>
    </row>
    <row r="13" customFormat="false" ht="15" hidden="false" customHeight="true" outlineLevel="0" collapsed="false">
      <c r="A13" s="2" t="s">
        <v>84</v>
      </c>
      <c r="B13" s="2"/>
      <c r="C13" s="2"/>
      <c r="D13" s="2"/>
    </row>
    <row r="14" customFormat="false" ht="15" hidden="false" customHeight="false" outlineLevel="0" collapsed="false">
      <c r="A14" s="2"/>
      <c r="B14" s="2"/>
      <c r="C14" s="2"/>
      <c r="D14" s="2"/>
    </row>
    <row r="15" customFormat="false" ht="15" hidden="false" customHeight="false" outlineLevel="0" collapsed="false">
      <c r="A15" s="2"/>
      <c r="B15" s="2"/>
      <c r="C15" s="2"/>
      <c r="D15" s="2"/>
    </row>
    <row r="16" customFormat="false" ht="15" hidden="false" customHeight="false" outlineLevel="0" collapsed="false">
      <c r="A16" s="2"/>
      <c r="B16" s="2"/>
      <c r="C16" s="2"/>
      <c r="D16" s="2"/>
    </row>
  </sheetData>
  <mergeCells count="1">
    <mergeCell ref="A13:D16"/>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40"/>
    <col collapsed="false" customWidth="true" hidden="false" outlineLevel="0" max="4" min="4" style="0" width="58"/>
    <col collapsed="false" customWidth="true" hidden="false" outlineLevel="0" max="5" min="5" style="0" width="50"/>
    <col collapsed="false" customWidth="true" hidden="false" outlineLevel="0" max="6" min="6" style="0" width="14"/>
  </cols>
  <sheetData>
    <row r="1" customFormat="false" ht="16.15" hidden="false" customHeight="false" outlineLevel="0" collapsed="false">
      <c r="A1" s="1" t="s">
        <v>85</v>
      </c>
    </row>
    <row r="2" customFormat="false" ht="15" hidden="false" customHeight="false" outlineLevel="0" collapsed="false">
      <c r="A2" s="19" t="s">
        <v>86</v>
      </c>
    </row>
    <row r="4" customFormat="false" ht="15" hidden="false" customHeight="false" outlineLevel="0" collapsed="false">
      <c r="A4" s="3" t="s">
        <v>87</v>
      </c>
      <c r="B4" s="3" t="s">
        <v>88</v>
      </c>
      <c r="C4" s="3" t="s">
        <v>89</v>
      </c>
      <c r="D4" s="3" t="s">
        <v>90</v>
      </c>
      <c r="E4" s="3" t="s">
        <v>91</v>
      </c>
      <c r="F4" s="3" t="s">
        <v>92</v>
      </c>
    </row>
    <row r="5" customFormat="false" ht="35.05" hidden="false" customHeight="false" outlineLevel="0" collapsed="false">
      <c r="A5" s="21" t="n">
        <v>1</v>
      </c>
      <c r="B5" s="22" t="s">
        <v>93</v>
      </c>
      <c r="C5" s="23" t="s">
        <v>94</v>
      </c>
      <c r="D5" s="24" t="s">
        <v>95</v>
      </c>
      <c r="E5" s="23" t="s">
        <v>96</v>
      </c>
      <c r="F5" s="25" t="s">
        <v>97</v>
      </c>
    </row>
    <row r="6" customFormat="false" ht="46.25" hidden="false" customHeight="false" outlineLevel="0" collapsed="false">
      <c r="A6" s="21" t="n">
        <v>2</v>
      </c>
      <c r="B6" s="22" t="s">
        <v>93</v>
      </c>
      <c r="C6" s="23" t="s">
        <v>98</v>
      </c>
      <c r="D6" s="24" t="s">
        <v>99</v>
      </c>
      <c r="E6" s="23" t="s">
        <v>100</v>
      </c>
      <c r="F6" s="25" t="s">
        <v>97</v>
      </c>
    </row>
    <row r="7" customFormat="false" ht="23.85" hidden="false" customHeight="false" outlineLevel="0" collapsed="false">
      <c r="A7" s="21" t="n">
        <v>3</v>
      </c>
      <c r="B7" s="26" t="s">
        <v>101</v>
      </c>
      <c r="C7" s="23" t="s">
        <v>102</v>
      </c>
      <c r="D7" s="24" t="s">
        <v>103</v>
      </c>
      <c r="E7" s="23" t="s">
        <v>104</v>
      </c>
      <c r="F7" s="25" t="s">
        <v>97</v>
      </c>
    </row>
    <row r="8" customFormat="false" ht="57.45" hidden="false" customHeight="false" outlineLevel="0" collapsed="false">
      <c r="A8" s="21" t="n">
        <v>4</v>
      </c>
      <c r="B8" s="26" t="s">
        <v>101</v>
      </c>
      <c r="C8" s="23" t="s">
        <v>105</v>
      </c>
      <c r="D8" s="24" t="s">
        <v>106</v>
      </c>
      <c r="E8" s="23" t="s">
        <v>107</v>
      </c>
      <c r="F8" s="21" t="s">
        <v>108</v>
      </c>
    </row>
    <row r="9" customFormat="false" ht="23.85" hidden="false" customHeight="false" outlineLevel="0" collapsed="false">
      <c r="A9" s="21" t="n">
        <v>5</v>
      </c>
      <c r="B9" s="27" t="s">
        <v>109</v>
      </c>
      <c r="C9" s="23" t="s">
        <v>110</v>
      </c>
      <c r="D9" s="24" t="s">
        <v>111</v>
      </c>
      <c r="E9" s="23" t="s">
        <v>112</v>
      </c>
      <c r="F9" s="21" t="s">
        <v>113</v>
      </c>
    </row>
    <row r="10" customFormat="false" ht="23.85" hidden="false" customHeight="false" outlineLevel="0" collapsed="false">
      <c r="A10" s="21" t="n">
        <v>6</v>
      </c>
      <c r="B10" s="27" t="s">
        <v>109</v>
      </c>
      <c r="C10" s="23" t="s">
        <v>53</v>
      </c>
      <c r="D10" s="24" t="s">
        <v>114</v>
      </c>
      <c r="E10" s="23" t="s">
        <v>115</v>
      </c>
      <c r="F10" s="21" t="s">
        <v>113</v>
      </c>
    </row>
    <row r="12" customFormat="false" ht="15" hidden="false" customHeight="false" outlineLevel="0" collapsed="false">
      <c r="C12" s="12" t="s">
        <v>116</v>
      </c>
      <c r="D12" s="28" t="n">
        <f aca="false">COUNTIF(F5:F10,"Open")</f>
        <v>3</v>
      </c>
    </row>
    <row r="14" customFormat="false" ht="15" hidden="false" customHeight="true" outlineLevel="0" collapsed="false">
      <c r="C14" s="2" t="s">
        <v>117</v>
      </c>
      <c r="D14" s="2"/>
      <c r="E14" s="2"/>
      <c r="F14" s="2"/>
    </row>
    <row r="15" customFormat="false" ht="15" hidden="false" customHeight="false" outlineLevel="0" collapsed="false">
      <c r="C15" s="2"/>
      <c r="D15" s="2"/>
      <c r="E15" s="2"/>
      <c r="F15" s="2"/>
    </row>
  </sheetData>
  <mergeCells count="1">
    <mergeCell ref="C14:F15"/>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2026-10-04T05:17:29Z</dcterms:created>
  <dc:creator>openpyxl</dc:creator>
  <dc:description/>
  <dc:language>en-US</dc:language>
  <cp:lastModifiedBy/>
  <dcterms:modified xsi:type="dcterms:W3CDTF">2026-10-04T05:17:29Z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